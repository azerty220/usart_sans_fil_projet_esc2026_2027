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<sst xmlns="http://schemas.openxmlformats.org/spreadsheetml/2006/main" count="28" uniqueCount="26">
  <si>
    <t>Item</t>
  </si>
  <si>
    <t>Détails</t>
  </si>
  <si>
    <t>Quantité</t>
  </si>
  <si>
    <t>Prix</t>
  </si>
  <si>
    <t>Total</t>
  </si>
  <si>
    <t>Commentaire</t>
  </si>
  <si>
    <t>1. Commande composants</t>
  </si>
  <si>
    <t>PLL+géné (OL) 584-ADF4350BCPZ</t>
  </si>
  <si>
    <t>Démodulateur 584-AD8313ARMZ-R</t>
  </si>
  <si>
    <t>Guerrilla RF GRF2070</t>
  </si>
  <si>
    <t>Budget alloué</t>
  </si>
  <si>
    <t>Filtres passe bande  SF2425E 868.6MHz 198-SF2425E</t>
  </si>
  <si>
    <t>Total projet</t>
  </si>
  <si>
    <t>Frais de port</t>
  </si>
  <si>
    <t>Budget restant</t>
  </si>
  <si>
    <t>Total Item 1</t>
  </si>
  <si>
    <t>2. Commande PCBs</t>
  </si>
  <si>
    <t>PCB Mod ASK+PLL avec stencil</t>
  </si>
  <si>
    <t>PCB PA+Filtrage avec stencil</t>
  </si>
  <si>
    <t>PCB Switch+Antenne avec stencil</t>
  </si>
  <si>
    <t>PCB LNA+Filtrage avec stencil</t>
  </si>
  <si>
    <t>PCB Démodulateur avec stencil</t>
  </si>
  <si>
    <t>Total Item 2</t>
  </si>
  <si>
    <t>3. Commande PCB</t>
  </si>
  <si>
    <t>PCB Final</t>
  </si>
  <si>
    <t>Total item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</si>
</sst>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&quot;€&quot;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000000"/>
      <name val="Liberation Sans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4" numFmtId="164" xfId="0" applyAlignment="1" applyFont="1" applyNumberFormat="1">
      <alignment horizontal="left" readingOrder="0"/>
    </xf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165" xfId="0" applyAlignment="1" applyFill="1" applyFont="1" applyNumberFormat="1">
      <alignment readingOrder="0"/>
    </xf>
    <xf borderId="0" fillId="0" fontId="1" numFmtId="0" xfId="0" applyFont="1"/>
    <xf borderId="0" fillId="0" fontId="5" numFmtId="0" xfId="0" applyAlignment="1" applyFont="1">
      <alignment horizontal="left" readingOrder="0"/>
    </xf>
    <xf borderId="1" fillId="2" fontId="6" numFmtId="0" xfId="0" applyAlignment="1" applyBorder="1" applyFill="1" applyFont="1">
      <alignment vertical="bottom"/>
    </xf>
    <xf borderId="2" fillId="0" fontId="6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3" fillId="2" fontId="1" numFmtId="0" xfId="0" applyAlignment="1" applyBorder="1" applyFill="1" applyFont="1">
      <alignment readingOrder="0"/>
    </xf>
    <xf borderId="4" fillId="0" fontId="1" numFmtId="164" xfId="0" applyBorder="1" applyFont="1" applyNumberFormat="1"/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4" numFmtId="165" xfId="0" applyAlignment="1" applyFont="1" applyNumberFormat="1">
      <alignment horizontal="left" readingOrder="0"/>
    </xf>
    <xf borderId="0" fillId="0" fontId="2" numFmtId="165" xfId="0" applyFont="1" applyNumberFormat="1"/>
    <xf borderId="5" fillId="2" fontId="1" numFmtId="0" xfId="0" applyAlignment="1" applyBorder="1" applyFill="1" applyFont="1">
      <alignment readingOrder="0"/>
    </xf>
    <xf borderId="6" fillId="0" fontId="1" numFmtId="165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0.25"/>
    <col customWidth="1" min="3" max="3" width="13.25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1.0</v>
      </c>
      <c r="D2" s="5">
        <v>18.83</v>
      </c>
      <c r="E2" s="6">
        <f t="shared" ref="E2:E6" si="1">C2*D2</f>
        <v>18.83</v>
      </c>
      <c r="I2" s="7"/>
      <c r="J2" s="8"/>
      <c r="K2" s="9"/>
    </row>
    <row r="3">
      <c r="B3" s="10" t="s">
        <v>8</v>
      </c>
      <c r="C3" s="4">
        <v>1.0</v>
      </c>
      <c r="D3" s="5">
        <v>23.32</v>
      </c>
      <c r="E3" s="6">
        <f t="shared" si="1"/>
        <v>23.32</v>
      </c>
      <c r="I3" s="9"/>
      <c r="J3" s="9"/>
      <c r="K3" s="9"/>
    </row>
    <row r="4">
      <c r="B4" s="10" t="s">
        <v>9</v>
      </c>
      <c r="C4" s="4">
        <v>3.0</v>
      </c>
      <c r="D4" s="5">
        <v>2.3</v>
      </c>
      <c r="E4" s="6">
        <f t="shared" si="1"/>
        <v>6.9</v>
      </c>
      <c r="I4" s="11" t="s">
        <v>10</v>
      </c>
      <c r="J4" s="12">
        <v>250.0</v>
      </c>
      <c r="K4" s="7"/>
    </row>
    <row r="5">
      <c r="B5" s="13" t="s">
        <v>11</v>
      </c>
      <c r="C5" s="14">
        <v>5.0</v>
      </c>
      <c r="D5" s="5">
        <v>1.16</v>
      </c>
      <c r="E5" s="6">
        <f t="shared" si="1"/>
        <v>5.8</v>
      </c>
      <c r="I5" s="15" t="s">
        <v>12</v>
      </c>
      <c r="J5" s="16">
        <f>SUM(E7,E15,E19)</f>
        <v>196.885</v>
      </c>
      <c r="K5" s="17"/>
    </row>
    <row r="6">
      <c r="B6" s="18" t="s">
        <v>13</v>
      </c>
      <c r="C6" s="19">
        <v>1.0</v>
      </c>
      <c r="D6" s="20">
        <v>25.0</v>
      </c>
      <c r="E6" s="21">
        <f t="shared" si="1"/>
        <v>25</v>
      </c>
      <c r="I6" s="22" t="s">
        <v>14</v>
      </c>
      <c r="J6" s="23">
        <f>J4-J5</f>
        <v>53.115</v>
      </c>
    </row>
    <row r="7">
      <c r="D7" s="1" t="s">
        <v>15</v>
      </c>
      <c r="E7" s="6">
        <f>SUM(E2:E6)</f>
        <v>79.85</v>
      </c>
    </row>
    <row r="9">
      <c r="A9" s="2" t="s">
        <v>16</v>
      </c>
      <c r="B9" s="18" t="s">
        <v>17</v>
      </c>
      <c r="C9" s="18">
        <v>1.0</v>
      </c>
      <c r="D9" s="18">
        <f>11.22*0.89</f>
        <v>9.9858</v>
      </c>
      <c r="E9" s="24">
        <f t="shared" ref="E9:E14" si="2">C9*D9</f>
        <v>9.9858</v>
      </c>
    </row>
    <row r="10">
      <c r="B10" s="18" t="s">
        <v>18</v>
      </c>
      <c r="C10" s="18">
        <v>1.0</v>
      </c>
      <c r="D10" s="18">
        <f>11.32*0.89</f>
        <v>10.0748</v>
      </c>
      <c r="E10" s="24">
        <f t="shared" si="2"/>
        <v>10.0748</v>
      </c>
    </row>
    <row r="11">
      <c r="B11" s="18" t="s">
        <v>19</v>
      </c>
      <c r="C11" s="18">
        <v>1.0</v>
      </c>
      <c r="D11" s="24">
        <f t="shared" ref="D11:D12" si="3">11.22*0.89</f>
        <v>9.9858</v>
      </c>
      <c r="E11" s="24">
        <f t="shared" si="2"/>
        <v>9.9858</v>
      </c>
    </row>
    <row r="12">
      <c r="B12" s="18" t="s">
        <v>20</v>
      </c>
      <c r="C12" s="18">
        <v>1.0</v>
      </c>
      <c r="D12" s="24">
        <f t="shared" si="3"/>
        <v>9.9858</v>
      </c>
      <c r="E12" s="24">
        <f t="shared" si="2"/>
        <v>9.9858</v>
      </c>
    </row>
    <row r="13">
      <c r="B13" s="18" t="s">
        <v>21</v>
      </c>
      <c r="C13" s="18">
        <v>1.0</v>
      </c>
      <c r="D13" s="18">
        <f>11.32*0.89</f>
        <v>10.0748</v>
      </c>
      <c r="E13" s="24">
        <f t="shared" si="2"/>
        <v>10.0748</v>
      </c>
    </row>
    <row r="14">
      <c r="B14" s="18" t="s">
        <v>13</v>
      </c>
      <c r="C14" s="18">
        <v>2.0</v>
      </c>
      <c r="D14" s="18">
        <f>37.6*0.89</f>
        <v>33.464</v>
      </c>
      <c r="E14" s="24">
        <f t="shared" si="2"/>
        <v>66.928</v>
      </c>
    </row>
    <row r="15">
      <c r="D15" s="1" t="s">
        <v>22</v>
      </c>
      <c r="E15" s="24">
        <f>SUM(E9:E14)</f>
        <v>117.035</v>
      </c>
    </row>
    <row r="17">
      <c r="A17" s="2" t="s">
        <v>23</v>
      </c>
      <c r="B17" s="18" t="s">
        <v>24</v>
      </c>
    </row>
    <row r="18">
      <c r="B18" s="18" t="s">
        <v>13</v>
      </c>
      <c r="D18" s="18">
        <f>37.6*0.89</f>
        <v>33.464</v>
      </c>
    </row>
    <row r="19">
      <c r="D19" s="1" t="s">
        <v>25</v>
      </c>
      <c r="E19" s="24">
        <f>SUM(E17:E18)</f>
        <v>0</v>
      </c>
    </row>
  </sheetData>
  <mergeCells count="2">
    <mergeCell ref="A2:A7"/>
    <mergeCell ref="A9:A15"/>
  </mergeCells>
  <drawing r:id="rId1"/>
</worksheet>
</file>